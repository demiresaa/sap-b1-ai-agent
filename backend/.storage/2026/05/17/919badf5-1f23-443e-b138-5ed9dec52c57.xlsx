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pariş Formu" sheetId="1" state="visible" r:id="rId3"/>
  </sheets>
  <definedNames>
    <definedName function="false" hidden="false" localSheetId="0" name="_xlnm.Print_Titles" vbProcedure="false">'Sipariş Formu'!$1:$18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<sst xmlns="http://schemas.openxmlformats.org/spreadsheetml/2006/main" count="149" uniqueCount="127">
  <si>
    <t xml:space="preserve">SATINALMA SİPARİŞ FORMU</t>
  </si>
  <si>
    <t xml:space="preserve">SİPARİŞ NO</t>
  </si>
  <si>
    <t xml:space="preserve">SP-2026-04781</t>
  </si>
  <si>
    <t xml:space="preserve">Tarih: 17.05.2026</t>
  </si>
  <si>
    <t xml:space="preserve">ALICI / TESLİMAT ADRESİ</t>
  </si>
  <si>
    <t xml:space="preserve">SATICI / TEDARİKÇİ</t>
  </si>
  <si>
    <t xml:space="preserve">ANADOLU OTOMOTİV SANAYİ A.Ş.</t>
  </si>
  <si>
    <t xml:space="preserve">TEKNİK YEDEK PARÇA TİC. LTD. ŞTİ.</t>
  </si>
  <si>
    <t xml:space="preserve">Organize Sanayi Bölgesi, 12. Cadde No: 47</t>
  </si>
  <si>
    <t xml:space="preserve">Yenibosna Merkez Mah. Atatürk Cad. No: 142/B</t>
  </si>
  <si>
    <t xml:space="preserve">Nilüfer / BURSA  16140</t>
  </si>
  <si>
    <t xml:space="preserve">Bahçelievler / İSTANBUL  34197</t>
  </si>
  <si>
    <t xml:space="preserve">Nilüfer V.D.  •  VKN: 067 0123 4567</t>
  </si>
  <si>
    <t xml:space="preserve">Bahçelievler V.D.  •  VKN: 834 0567 8910</t>
  </si>
  <si>
    <t xml:space="preserve">Tel: +90 (224) 411 22 00</t>
  </si>
  <si>
    <t xml:space="preserve">Tel: +90 (212) 654 18 90</t>
  </si>
  <si>
    <t xml:space="preserve">E-posta: satinalma@anadoluotomotiv.com.tr</t>
  </si>
  <si>
    <t xml:space="preserve">E-posta: kurumsal@teknikyedekparca.com.tr</t>
  </si>
  <si>
    <t xml:space="preserve">İlgili: Kemal YILDIRIM — Satınalma Müdürü</t>
  </si>
  <si>
    <t xml:space="preserve">İlgili: Selin ARSLAN — Kurumsal Satış Yöneticisi</t>
  </si>
  <si>
    <t xml:space="preserve">SİPARİŞ TARİHİ</t>
  </si>
  <si>
    <t xml:space="preserve">İSTENEN TESLİM</t>
  </si>
  <si>
    <t xml:space="preserve">ÖDEME ŞARTLARI</t>
  </si>
  <si>
    <t xml:space="preserve">PARA BİRİMİ</t>
  </si>
  <si>
    <t xml:space="preserve">17.05.2026</t>
  </si>
  <si>
    <t xml:space="preserve">29.05.2026</t>
  </si>
  <si>
    <t xml:space="preserve">60 gün vadeli / Açık hesap</t>
  </si>
  <si>
    <t xml:space="preserve">TRY  (Türk Lirası)</t>
  </si>
  <si>
    <t xml:space="preserve">SİPARİŞ KALEMLERİ</t>
  </si>
  <si>
    <t xml:space="preserve">No</t>
  </si>
  <si>
    <t xml:space="preserve">Stok / OEM Kodu</t>
  </si>
  <si>
    <t xml:space="preserve">Ürün Açıklaması</t>
  </si>
  <si>
    <t xml:space="preserve">Marka</t>
  </si>
  <si>
    <t xml:space="preserve">Birim</t>
  </si>
  <si>
    <t xml:space="preserve">Miktar</t>
  </si>
  <si>
    <t xml:space="preserve">Birim Fiyat (₺)</t>
  </si>
  <si>
    <t xml:space="preserve">Ara Toplam (₺)</t>
  </si>
  <si>
    <t xml:space="preserve">KDV %</t>
  </si>
  <si>
    <t xml:space="preserve">KDV Dahil Toplam (₺)</t>
  </si>
  <si>
    <t xml:space="preserve">FD-32421-OE</t>
  </si>
  <si>
    <t xml:space="preserve">Fren Diski — Ön (Havalandırmalı, Ø 296 mm)</t>
  </si>
  <si>
    <t xml:space="preserve">BREMTECH</t>
  </si>
  <si>
    <t xml:space="preserve">Adet</t>
  </si>
  <si>
    <t xml:space="preserve">FB-18750-PR</t>
  </si>
  <si>
    <t xml:space="preserve">Fren Balatası Seti — Ön (Düşük tozlu, ECE R90)</t>
  </si>
  <si>
    <t xml:space="preserve">FERODO</t>
  </si>
  <si>
    <t xml:space="preserve">Set</t>
  </si>
  <si>
    <t xml:space="preserve">AM-44102-FR</t>
  </si>
  <si>
    <t xml:space="preserve">Amortisör — Ön Sağ (Gaz basınçlı)</t>
  </si>
  <si>
    <t xml:space="preserve">MONROE</t>
  </si>
  <si>
    <t xml:space="preserve">AM-44103-FL</t>
  </si>
  <si>
    <t xml:space="preserve">Amortisör — Ön Sol (Gaz basınçlı)</t>
  </si>
  <si>
    <t xml:space="preserve">TK-90015-KT</t>
  </si>
  <si>
    <t xml:space="preserve">Triger Kayışı Seti (Kayış + 2 Gergi + Rulman)</t>
  </si>
  <si>
    <t xml:space="preserve">GATES</t>
  </si>
  <si>
    <t xml:space="preserve">YF-07120-FL</t>
  </si>
  <si>
    <t xml:space="preserve">Yağ Filtresi — Motor (1.6 / 2.0 benzinli)</t>
  </si>
  <si>
    <t xml:space="preserve">MANN-FILTER</t>
  </si>
  <si>
    <t xml:space="preserve">HF-21804-AR</t>
  </si>
  <si>
    <t xml:space="preserve">Hava Filtresi — Panel tip</t>
  </si>
  <si>
    <t xml:space="preserve">MAHLE</t>
  </si>
  <si>
    <t xml:space="preserve">YK-31550-FU</t>
  </si>
  <si>
    <t xml:space="preserve">Yakıt Filtresi — Dizel motorlar</t>
  </si>
  <si>
    <t xml:space="preserve">BOSCH</t>
  </si>
  <si>
    <t xml:space="preserve">PF-66201-CB</t>
  </si>
  <si>
    <t xml:space="preserve">Polen Filtresi — Aktif karbonlu</t>
  </si>
  <si>
    <t xml:space="preserve">BJ-08114-IR</t>
  </si>
  <si>
    <t xml:space="preserve">Buji — İridyum (8'li set, çift platin uçlu)</t>
  </si>
  <si>
    <t xml:space="preserve">NGK</t>
  </si>
  <si>
    <t xml:space="preserve">AK-12700-AG</t>
  </si>
  <si>
    <t xml:space="preserve">Akü — 12V 70Ah / 680A (AGM Start-Stop)</t>
  </si>
  <si>
    <t xml:space="preserve">VARTA</t>
  </si>
  <si>
    <t xml:space="preserve">MM-58100-ST</t>
  </si>
  <si>
    <t xml:space="preserve">Marş Motoru — 12V 1.4kW (yeniden üretim)</t>
  </si>
  <si>
    <t xml:space="preserve">VALEO</t>
  </si>
  <si>
    <t xml:space="preserve">AL-66120-AT</t>
  </si>
  <si>
    <t xml:space="preserve">Alternatör — 14V 120A (yeniden üretim)</t>
  </si>
  <si>
    <t xml:space="preserve">DENSO</t>
  </si>
  <si>
    <t xml:space="preserve">DB-77310-KT</t>
  </si>
  <si>
    <t xml:space="preserve">Debriyaj Seti — Baskı + Disk + Rulman</t>
  </si>
  <si>
    <t xml:space="preserve">LuK</t>
  </si>
  <si>
    <t xml:space="preserve">RB-43215-OD</t>
  </si>
  <si>
    <t xml:space="preserve">Rot Başı — Dış (sağ/sol uyumlu)</t>
  </si>
  <si>
    <t xml:space="preserve">TRW</t>
  </si>
  <si>
    <t xml:space="preserve">SB-51208-TK</t>
  </si>
  <si>
    <t xml:space="preserve">Salıncak Burcu Takımı — Ön (4 parça)</t>
  </si>
  <si>
    <t xml:space="preserve">LEMFÖRDER</t>
  </si>
  <si>
    <t xml:space="preserve">Tk.</t>
  </si>
  <si>
    <t xml:space="preserve">EG-29011-CT</t>
  </si>
  <si>
    <t xml:space="preserve">Egzoz Manifold Contası — Çok katmanlı çelik</t>
  </si>
  <si>
    <t xml:space="preserve">ELRING</t>
  </si>
  <si>
    <t xml:space="preserve">SP-19600-WP</t>
  </si>
  <si>
    <t xml:space="preserve">Su Pompası — Mekanik (kasnaklı, conta dahil)</t>
  </si>
  <si>
    <t xml:space="preserve">TH-25088-TS</t>
  </si>
  <si>
    <t xml:space="preserve">Termostat — 88°C (gövde + conta)</t>
  </si>
  <si>
    <t xml:space="preserve">WAHLER</t>
  </si>
  <si>
    <t xml:space="preserve">FA-71407-H7</t>
  </si>
  <si>
    <t xml:space="preserve">Far Ampulü H7 55W — Long Life (çiftli kutu)</t>
  </si>
  <si>
    <t xml:space="preserve">OSRAM</t>
  </si>
  <si>
    <t xml:space="preserve">Çift</t>
  </si>
  <si>
    <t xml:space="preserve">Toplam Kalem Sayısı:</t>
  </si>
  <si>
    <t xml:space="preserve">Mal/Hizmet Toplamı (KDV Hariç)</t>
  </si>
  <si>
    <t xml:space="preserve">Toplam Adet/Birim:</t>
  </si>
  <si>
    <t xml:space="preserve">İndirim</t>
  </si>
  <si>
    <t xml:space="preserve">Net Tutar (KDV Matrahı)</t>
  </si>
  <si>
    <t xml:space="preserve">KDV Toplamı</t>
  </si>
  <si>
    <t xml:space="preserve">GENEL TOPLAM</t>
  </si>
  <si>
    <t xml:space="preserve">GENEL TEDARİK ŞARTLARI</t>
  </si>
  <si>
    <t xml:space="preserve">1. Teslimat</t>
  </si>
  <si>
    <t xml:space="preserve">Ürünler en geç 29.05.2026 tarihinde, Alıcı'nın Bursa Nilüfer adresine DDP şartlarında teslim edilecektir. Geç teslimat halinde gecikilen her gün için sipariş bedelinin %0,3'ü oranında ceza uygulanır.</t>
  </si>
  <si>
    <t xml:space="preserve">2. Ambalajlama</t>
  </si>
  <si>
    <t xml:space="preserve">Tüm ürünler orijinal ambalajında, OEM kodu, marka ve parti numarası okunaklı şekilde etiketlenmiş olacaktır. Palet sevkiyatında ISPM-15 standardı uygulanır.</t>
  </si>
  <si>
    <t xml:space="preserve">3. Kalite ve Uygunluk</t>
  </si>
  <si>
    <t xml:space="preserve">Ürünler IATF 16949 ve ilgili ECE / OE standartlarına uygun olmalıdır. Her sevkiyatla Uygunluk Beyanı (CoC) ibraz edilecektir.</t>
  </si>
  <si>
    <t xml:space="preserve">4. Muayene ve Kabul</t>
  </si>
  <si>
    <t xml:space="preserve">Alıcı, teslimden itibaren 10 iş günü içinde muayene hakkını saklı tutar. Ayıplı/eksik ürünler bedelsiz değiştirilir veya iade edilir.</t>
  </si>
  <si>
    <t xml:space="preserve">5. Ödeme</t>
  </si>
  <si>
    <t xml:space="preserve">Ödeme, fatura tarihinden itibaren 60 gün vadeli banka havalesi ile yapılır. Erken ödemede %1,5 nakit iskontosu uygulanabilir.</t>
  </si>
  <si>
    <t xml:space="preserve">6. Garanti</t>
  </si>
  <si>
    <t xml:space="preserve">Üretim ve malzeme hatalarına karşı asgari 24 ay garanti verilecektir. Garanti süresi içindeki kusurlu ürünler bedelsiz değiştirilir.</t>
  </si>
  <si>
    <t xml:space="preserve">7. Gizlilik ve Mücbir Sebep</t>
  </si>
  <si>
    <t xml:space="preserve">Taraflar gizlilik yükümlülüğüne tabidir. Mücbir sebep hallerinde yükümlülükler askıya alınır; 30 günü aşması halinde sipariş tazminatsız feshedilebilir.</t>
  </si>
  <si>
    <t xml:space="preserve">8. Uyuşmazlık</t>
  </si>
  <si>
    <t xml:space="preserve">İşbu siparişten doğan uyuşmazlıklarda Bursa Mahkemeleri yetkilidir. Türk Ticaret Kanunu hükümleri uygulanır.</t>
  </si>
  <si>
    <t xml:space="preserve">ALICI ADINA</t>
  </si>
  <si>
    <t xml:space="preserve">SATICI ADINA</t>
  </si>
  <si>
    <t xml:space="preserve">Ad-Soyad • Ünvan • İmza • Kaşe • Tarih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</si>
</sst>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#,##0.00"/>
    <numFmt numFmtId="168" formatCode="0%"/>
    <numFmt numFmtId="169" formatCode="#,##0.00&quot; ₺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8"/>
      <color rgb="FFC8A24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1A1F2B"/>
      <name val="Arial"/>
      <family val="0"/>
      <charset val="1"/>
    </font>
    <font>
      <sz val="9"/>
      <color rgb="FF1A1F2B"/>
      <name val="Arial"/>
      <family val="0"/>
      <charset val="1"/>
    </font>
    <font>
      <b val="true"/>
      <sz val="12"/>
      <color rgb="FF0F2A4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F2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F2A47"/>
      <name val="Arial"/>
      <family val="0"/>
      <charset val="1"/>
    </font>
    <font>
      <b val="true"/>
      <sz val="9"/>
      <color rgb="FF0F2A47"/>
      <name val="Arial"/>
      <family val="0"/>
      <charset val="1"/>
    </font>
    <font>
      <i val="true"/>
      <sz val="8"/>
      <color rgb="FF5A647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2A47"/>
        <bgColor rgb="FF1A1F2B"/>
      </patternFill>
    </fill>
    <fill>
      <patternFill patternType="solid">
        <fgColor rgb="FFFFFFFF"/>
        <bgColor rgb="FFF4F6FA"/>
      </patternFill>
    </fill>
    <fill>
      <patternFill patternType="solid">
        <fgColor rgb="FFF4F6FA"/>
        <bgColor rgb="FFFFFF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D5DAE0"/>
      </left>
      <right/>
      <top style="medium">
        <color rgb="FFC8A24B"/>
      </top>
      <bottom style="hair">
        <color rgb="FFD5DAE0"/>
      </bottom>
      <diagonal/>
    </border>
    <border diagonalUp="false" diagonalDown="false">
      <left style="thin">
        <color rgb="FFD5DAE0"/>
      </left>
      <right/>
      <top style="hair">
        <color rgb="FFD5DAE0"/>
      </top>
      <bottom style="hair">
        <color rgb="FFD5DAE0"/>
      </bottom>
      <diagonal/>
    </border>
    <border diagonalUp="false" diagonalDown="false">
      <left style="thin">
        <color rgb="FFD5DAE0"/>
      </left>
      <right/>
      <top/>
      <bottom style="hair">
        <color rgb="FFD5DAE0"/>
      </bottom>
      <diagonal/>
    </border>
    <border diagonalUp="false" diagonalDown="false">
      <left style="thin">
        <color rgb="FFD5DAE0"/>
      </left>
      <right/>
      <top/>
      <bottom style="thin">
        <color rgb="FFD5DAE0"/>
      </bottom>
      <diagonal/>
    </border>
    <border diagonalUp="false" diagonalDown="false">
      <left style="thin">
        <color rgb="FFD5DAE0"/>
      </left>
      <right/>
      <top style="thin">
        <color rgb="FFD5DAE0"/>
      </top>
      <bottom/>
      <diagonal/>
    </border>
    <border diagonalUp="false" diagonalDown="false">
      <left style="hair">
        <color rgb="FFD5DAE0"/>
      </left>
      <right/>
      <top style="thin">
        <color rgb="FFD5DAE0"/>
      </top>
      <bottom/>
      <diagonal/>
    </border>
    <border diagonalUp="false" diagonalDown="false">
      <left style="hair">
        <color rgb="FFD5DAE0"/>
      </left>
      <right/>
      <top/>
      <bottom style="thin">
        <color rgb="FFD5DAE0"/>
      </bottom>
      <diagonal/>
    </border>
    <border diagonalUp="false" diagonalDown="false">
      <left style="thin">
        <color rgb="FFD5DAE0"/>
      </left>
      <right style="thin">
        <color rgb="FFD5DAE0"/>
      </right>
      <top style="medium">
        <color rgb="FF0F2A47"/>
      </top>
      <bottom style="medium">
        <color rgb="FF0F2A47"/>
      </bottom>
      <diagonal/>
    </border>
    <border diagonalUp="false" diagonalDown="false"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  <diagonal/>
    </border>
    <border diagonalUp="false" diagonalDown="false">
      <left style="thin">
        <color rgb="FFD5DAE0"/>
      </left>
      <right/>
      <top style="thin">
        <color rgb="FFD5DAE0"/>
      </top>
      <bottom style="thin">
        <color rgb="FFD5DAE0"/>
      </bottom>
      <diagonal/>
    </border>
    <border diagonalUp="false" diagonalDown="false">
      <left style="hair">
        <color rgb="FFD5DAE0"/>
      </left>
      <right/>
      <top style="thin">
        <color rgb="FFD5DAE0"/>
      </top>
      <bottom style="thin">
        <color rgb="FFD5DAE0"/>
      </bottom>
      <diagonal/>
    </border>
    <border diagonalUp="false" diagonalDown="false">
      <left style="hair">
        <color rgb="FFD5DAE0"/>
      </left>
      <right/>
      <top style="medium">
        <color rgb="FFC8A24B"/>
      </top>
      <bottom style="hair">
        <color rgb="FFD5DAE0"/>
      </bottom>
      <diagonal/>
    </border>
    <border diagonalUp="false" diagonalDown="false">
      <left style="thin">
        <color rgb="FFD5DAE0"/>
      </left>
      <right/>
      <top/>
      <bottom/>
      <diagonal/>
    </border>
    <border diagonalUp="false" diagonalDown="false">
      <left style="hair">
        <color rgb="FFD5DAE0"/>
      </left>
      <right/>
      <top/>
      <bottom/>
      <diagonal/>
    </border>
    <border diagonalUp="false" diagonalDown="false">
      <left style="thin">
        <color rgb="FFD5DAE0"/>
      </left>
      <right/>
      <top style="thin">
        <color rgb="FF5A6470"/>
      </top>
      <bottom/>
      <diagonal/>
    </border>
    <border diagonalUp="false" diagonalDown="false">
      <left style="hair">
        <color rgb="FFD5DAE0"/>
      </left>
      <right/>
      <top style="thin">
        <color rgb="FF5A647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2" fillId="3" borderId="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2" fillId="3" borderId="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2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2" fillId="4" borderId="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2" fillId="4" borderId="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2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2" fillId="0" borderId="11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6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8" fillId="4" borderId="11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13" fillId="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4" fillId="2" borderId="11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A"/>
      <rgbColor rgb="FFCCFFFF"/>
      <rgbColor rgb="FF660066"/>
      <rgbColor rgb="FFFF8080"/>
      <rgbColor rgb="FF0066CC"/>
      <rgbColor rgb="FFD5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0"/>
      <rgbColor rgb="FFC8A24B"/>
      <rgbColor rgb="FF0F2A47"/>
      <rgbColor rgb="FF339966"/>
      <rgbColor rgb="FF003300"/>
      <rgbColor rgb="FF333300"/>
      <rgbColor rgb="FF993300"/>
      <rgbColor rgb="FF993366"/>
      <rgbColor rgb="FF333399"/>
      <rgbColor rgb="FF1A1F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3" t="s">
        <v>2</v>
      </c>
      <c r="J2" s="3"/>
    </row>
    <row r="3" customFormat="false" ht="21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4" t="s">
        <v>3</v>
      </c>
      <c r="J3" s="4"/>
    </row>
    <row r="4" customFormat="false" ht="7.5" hidden="false" customHeight="true" outlineLevel="0" collapsed="false"/>
    <row r="5" customFormat="false" ht="18" hidden="false" customHeight="true" outlineLevel="0" collapsed="false">
      <c r="A5" s="5" t="s">
        <v>4</v>
      </c>
      <c r="B5" s="5"/>
      <c r="C5" s="5"/>
      <c r="D5" s="5"/>
      <c r="E5" s="5"/>
      <c r="F5" s="5" t="s">
        <v>5</v>
      </c>
      <c r="G5" s="5"/>
      <c r="H5" s="5"/>
      <c r="I5" s="5"/>
      <c r="J5" s="5"/>
    </row>
    <row r="6" customFormat="false" ht="15" hidden="false" customHeight="true" outlineLevel="0" collapsed="false">
      <c r="A6" s="6" t="s">
        <v>6</v>
      </c>
      <c r="B6" s="6"/>
      <c r="C6" s="6"/>
      <c r="D6" s="6"/>
      <c r="E6" s="6"/>
      <c r="F6" s="6" t="s">
        <v>7</v>
      </c>
      <c r="G6" s="6"/>
      <c r="H6" s="6"/>
      <c r="I6" s="6"/>
      <c r="J6" s="6"/>
    </row>
    <row r="7" customFormat="false" ht="15" hidden="false" customHeight="true" outlineLevel="0" collapsed="false">
      <c r="A7" s="7" t="s">
        <v>8</v>
      </c>
      <c r="B7" s="7"/>
      <c r="C7" s="7"/>
      <c r="D7" s="7"/>
      <c r="E7" s="7"/>
      <c r="F7" s="7" t="s">
        <v>9</v>
      </c>
      <c r="G7" s="7"/>
      <c r="H7" s="7"/>
      <c r="I7" s="7"/>
      <c r="J7" s="7"/>
    </row>
    <row r="8" customFormat="false" ht="15" hidden="false" customHeight="true" outlineLevel="0" collapsed="false">
      <c r="A8" s="7" t="s">
        <v>10</v>
      </c>
      <c r="B8" s="7"/>
      <c r="C8" s="7"/>
      <c r="D8" s="7"/>
      <c r="E8" s="7"/>
      <c r="F8" s="7" t="s">
        <v>11</v>
      </c>
      <c r="G8" s="7"/>
      <c r="H8" s="7"/>
      <c r="I8" s="7"/>
      <c r="J8" s="7"/>
    </row>
    <row r="9" customFormat="false" ht="15" hidden="false" customHeight="true" outlineLevel="0" collapsed="false">
      <c r="A9" s="7" t="s">
        <v>12</v>
      </c>
      <c r="B9" s="7"/>
      <c r="C9" s="7"/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true" outlineLevel="0" collapsed="false">
      <c r="A10" s="7" t="s">
        <v>14</v>
      </c>
      <c r="B10" s="7"/>
      <c r="C10" s="7"/>
      <c r="D10" s="7"/>
      <c r="E10" s="7"/>
      <c r="F10" s="7" t="s">
        <v>15</v>
      </c>
      <c r="G10" s="7"/>
      <c r="H10" s="7"/>
      <c r="I10" s="7"/>
      <c r="J10" s="7"/>
    </row>
    <row r="11" customFormat="false" ht="15" hidden="false" customHeight="true" outlineLevel="0" collapsed="false">
      <c r="A11" s="7" t="s">
        <v>16</v>
      </c>
      <c r="B11" s="7"/>
      <c r="C11" s="7"/>
      <c r="D11" s="7"/>
      <c r="E11" s="7"/>
      <c r="F11" s="7" t="s">
        <v>17</v>
      </c>
      <c r="G11" s="7"/>
      <c r="H11" s="7"/>
      <c r="I11" s="7"/>
      <c r="J11" s="7"/>
    </row>
    <row r="12" customFormat="false" ht="15" hidden="false" customHeight="true" outlineLevel="0" collapsed="false">
      <c r="A12" s="8" t="s">
        <v>18</v>
      </c>
      <c r="B12" s="8"/>
      <c r="C12" s="8"/>
      <c r="D12" s="8"/>
      <c r="E12" s="8"/>
      <c r="F12" s="8" t="s">
        <v>19</v>
      </c>
      <c r="G12" s="8"/>
      <c r="H12" s="8"/>
      <c r="I12" s="8"/>
      <c r="J12" s="8"/>
    </row>
    <row r="13" customFormat="false" ht="9.75" hidden="false" customHeight="true" outlineLevel="0" collapsed="false"/>
    <row r="14" customFormat="false" ht="18" hidden="false" customHeight="true" outlineLevel="0" collapsed="false">
      <c r="A14" s="9" t="s">
        <v>20</v>
      </c>
      <c r="B14" s="9"/>
      <c r="C14" s="10" t="s">
        <v>21</v>
      </c>
      <c r="D14" s="10"/>
      <c r="E14" s="10" t="s">
        <v>22</v>
      </c>
      <c r="F14" s="10"/>
      <c r="G14" s="10"/>
      <c r="H14" s="10" t="s">
        <v>23</v>
      </c>
      <c r="I14" s="10"/>
      <c r="J14" s="10"/>
    </row>
    <row r="15" customFormat="false" ht="21.75" hidden="false" customHeight="true" outlineLevel="0" collapsed="false">
      <c r="A15" s="11" t="s">
        <v>24</v>
      </c>
      <c r="B15" s="11"/>
      <c r="C15" s="12" t="s">
        <v>25</v>
      </c>
      <c r="D15" s="12"/>
      <c r="E15" s="12" t="s">
        <v>26</v>
      </c>
      <c r="F15" s="12"/>
      <c r="G15" s="12"/>
      <c r="H15" s="12" t="s">
        <v>27</v>
      </c>
      <c r="I15" s="12"/>
      <c r="J15" s="12"/>
    </row>
    <row r="16" customFormat="false" ht="12" hidden="false" customHeight="true" outlineLevel="0" collapsed="false"/>
    <row r="17" customFormat="false" ht="21.75" hidden="false" customHeight="true" outlineLevel="0" collapsed="false">
      <c r="A17" s="13" t="s">
        <v>28</v>
      </c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31.5" hidden="false" customHeight="true" outlineLevel="0" collapsed="false">
      <c r="A18" s="14" t="s">
        <v>29</v>
      </c>
      <c r="B18" s="14" t="s">
        <v>30</v>
      </c>
      <c r="C18" s="14" t="s">
        <v>31</v>
      </c>
      <c r="D18" s="14" t="s">
        <v>32</v>
      </c>
      <c r="E18" s="14" t="s">
        <v>33</v>
      </c>
      <c r="F18" s="14" t="s">
        <v>34</v>
      </c>
      <c r="G18" s="14" t="s">
        <v>35</v>
      </c>
      <c r="H18" s="14" t="s">
        <v>36</v>
      </c>
      <c r="I18" s="14" t="s">
        <v>37</v>
      </c>
      <c r="J18" s="14" t="s">
        <v>38</v>
      </c>
    </row>
    <row r="19" customFormat="false" ht="27.75" hidden="false" customHeight="true" outlineLevel="0" collapsed="false">
      <c r="A19" s="15" t="n">
        <v>1</v>
      </c>
      <c r="B19" s="16" t="s">
        <v>39</v>
      </c>
      <c r="C19" s="17" t="s">
        <v>40</v>
      </c>
      <c r="D19" s="16" t="s">
        <v>41</v>
      </c>
      <c r="E19" s="16" t="s">
        <v>42</v>
      </c>
      <c r="F19" s="18" t="n">
        <v>40</v>
      </c>
      <c r="G19" s="19" t="n">
        <v>850</v>
      </c>
      <c r="H19" s="19" t="n">
        <f aca="false">F19*G19</f>
        <v>34000</v>
      </c>
      <c r="I19" s="20" t="n">
        <v>0.2</v>
      </c>
      <c r="J19" s="19" t="n">
        <f aca="false">H19*(1+I19)</f>
        <v>40800</v>
      </c>
    </row>
    <row r="20" customFormat="false" ht="27.75" hidden="false" customHeight="true" outlineLevel="0" collapsed="false">
      <c r="A20" s="21" t="n">
        <v>2</v>
      </c>
      <c r="B20" s="22" t="s">
        <v>43</v>
      </c>
      <c r="C20" s="23" t="s">
        <v>44</v>
      </c>
      <c r="D20" s="22" t="s">
        <v>45</v>
      </c>
      <c r="E20" s="22" t="s">
        <v>46</v>
      </c>
      <c r="F20" s="24" t="n">
        <v>60</v>
      </c>
      <c r="G20" s="25" t="n">
        <v>425</v>
      </c>
      <c r="H20" s="25" t="n">
        <f aca="false">F20*G20</f>
        <v>25500</v>
      </c>
      <c r="I20" s="26" t="n">
        <v>0.2</v>
      </c>
      <c r="J20" s="25" t="n">
        <f aca="false">H20*(1+I20)</f>
        <v>30600</v>
      </c>
    </row>
    <row r="21" customFormat="false" ht="27.75" hidden="false" customHeight="true" outlineLevel="0" collapsed="false">
      <c r="A21" s="15" t="n">
        <v>3</v>
      </c>
      <c r="B21" s="16" t="s">
        <v>47</v>
      </c>
      <c r="C21" s="17" t="s">
        <v>48</v>
      </c>
      <c r="D21" s="16" t="s">
        <v>49</v>
      </c>
      <c r="E21" s="16" t="s">
        <v>42</v>
      </c>
      <c r="F21" s="18" t="n">
        <v>20</v>
      </c>
      <c r="G21" s="19" t="n">
        <v>1250</v>
      </c>
      <c r="H21" s="19" t="n">
        <f aca="false">F21*G21</f>
        <v>25000</v>
      </c>
      <c r="I21" s="20" t="n">
        <v>0.2</v>
      </c>
      <c r="J21" s="19" t="n">
        <f aca="false">H21*(1+I21)</f>
        <v>30000</v>
      </c>
    </row>
    <row r="22" customFormat="false" ht="27.75" hidden="false" customHeight="true" outlineLevel="0" collapsed="false">
      <c r="A22" s="21" t="n">
        <v>4</v>
      </c>
      <c r="B22" s="22" t="s">
        <v>50</v>
      </c>
      <c r="C22" s="23" t="s">
        <v>51</v>
      </c>
      <c r="D22" s="22" t="s">
        <v>49</v>
      </c>
      <c r="E22" s="22" t="s">
        <v>42</v>
      </c>
      <c r="F22" s="24" t="n">
        <v>20</v>
      </c>
      <c r="G22" s="25" t="n">
        <v>1250</v>
      </c>
      <c r="H22" s="25" t="n">
        <f aca="false">F22*G22</f>
        <v>25000</v>
      </c>
      <c r="I22" s="26" t="n">
        <v>0.2</v>
      </c>
      <c r="J22" s="25" t="n">
        <f aca="false">H22*(1+I22)</f>
        <v>30000</v>
      </c>
    </row>
    <row r="23" customFormat="false" ht="27.75" hidden="false" customHeight="true" outlineLevel="0" collapsed="false">
      <c r="A23" s="15" t="n">
        <v>5</v>
      </c>
      <c r="B23" s="16" t="s">
        <v>52</v>
      </c>
      <c r="C23" s="17" t="s">
        <v>53</v>
      </c>
      <c r="D23" s="16" t="s">
        <v>54</v>
      </c>
      <c r="E23" s="16" t="s">
        <v>46</v>
      </c>
      <c r="F23" s="18" t="n">
        <v>15</v>
      </c>
      <c r="G23" s="19" t="n">
        <v>1850</v>
      </c>
      <c r="H23" s="19" t="n">
        <f aca="false">F23*G23</f>
        <v>27750</v>
      </c>
      <c r="I23" s="20" t="n">
        <v>0.2</v>
      </c>
      <c r="J23" s="19" t="n">
        <f aca="false">H23*(1+I23)</f>
        <v>33300</v>
      </c>
    </row>
    <row r="24" customFormat="false" ht="27.75" hidden="false" customHeight="true" outlineLevel="0" collapsed="false">
      <c r="A24" s="21" t="n">
        <v>6</v>
      </c>
      <c r="B24" s="22" t="s">
        <v>55</v>
      </c>
      <c r="C24" s="23" t="s">
        <v>56</v>
      </c>
      <c r="D24" s="22" t="s">
        <v>57</v>
      </c>
      <c r="E24" s="22" t="s">
        <v>42</v>
      </c>
      <c r="F24" s="24" t="n">
        <v>200</v>
      </c>
      <c r="G24" s="25" t="n">
        <v>95</v>
      </c>
      <c r="H24" s="25" t="n">
        <f aca="false">F24*G24</f>
        <v>19000</v>
      </c>
      <c r="I24" s="26" t="n">
        <v>0.2</v>
      </c>
      <c r="J24" s="25" t="n">
        <f aca="false">H24*(1+I24)</f>
        <v>22800</v>
      </c>
    </row>
    <row r="25" customFormat="false" ht="27.75" hidden="false" customHeight="true" outlineLevel="0" collapsed="false">
      <c r="A25" s="15" t="n">
        <v>7</v>
      </c>
      <c r="B25" s="16" t="s">
        <v>58</v>
      </c>
      <c r="C25" s="17" t="s">
        <v>59</v>
      </c>
      <c r="D25" s="16" t="s">
        <v>60</v>
      </c>
      <c r="E25" s="16" t="s">
        <v>42</v>
      </c>
      <c r="F25" s="18" t="n">
        <v>150</v>
      </c>
      <c r="G25" s="19" t="n">
        <v>165</v>
      </c>
      <c r="H25" s="19" t="n">
        <f aca="false">F25*G25</f>
        <v>24750</v>
      </c>
      <c r="I25" s="20" t="n">
        <v>0.2</v>
      </c>
      <c r="J25" s="19" t="n">
        <f aca="false">H25*(1+I25)</f>
        <v>29700</v>
      </c>
    </row>
    <row r="26" customFormat="false" ht="27.75" hidden="false" customHeight="true" outlineLevel="0" collapsed="false">
      <c r="A26" s="21" t="n">
        <v>8</v>
      </c>
      <c r="B26" s="22" t="s">
        <v>61</v>
      </c>
      <c r="C26" s="23" t="s">
        <v>62</v>
      </c>
      <c r="D26" s="22" t="s">
        <v>63</v>
      </c>
      <c r="E26" s="22" t="s">
        <v>42</v>
      </c>
      <c r="F26" s="24" t="n">
        <v>120</v>
      </c>
      <c r="G26" s="25" t="n">
        <v>220</v>
      </c>
      <c r="H26" s="25" t="n">
        <f aca="false">F26*G26</f>
        <v>26400</v>
      </c>
      <c r="I26" s="26" t="n">
        <v>0.2</v>
      </c>
      <c r="J26" s="25" t="n">
        <f aca="false">H26*(1+I26)</f>
        <v>31680</v>
      </c>
    </row>
    <row r="27" customFormat="false" ht="27.75" hidden="false" customHeight="true" outlineLevel="0" collapsed="false">
      <c r="A27" s="15" t="n">
        <v>9</v>
      </c>
      <c r="B27" s="16" t="s">
        <v>64</v>
      </c>
      <c r="C27" s="17" t="s">
        <v>65</v>
      </c>
      <c r="D27" s="16" t="s">
        <v>57</v>
      </c>
      <c r="E27" s="16" t="s">
        <v>42</v>
      </c>
      <c r="F27" s="18" t="n">
        <v>180</v>
      </c>
      <c r="G27" s="19" t="n">
        <v>145</v>
      </c>
      <c r="H27" s="19" t="n">
        <f aca="false">F27*G27</f>
        <v>26100</v>
      </c>
      <c r="I27" s="20" t="n">
        <v>0.2</v>
      </c>
      <c r="J27" s="19" t="n">
        <f aca="false">H27*(1+I27)</f>
        <v>31320</v>
      </c>
    </row>
    <row r="28" customFormat="false" ht="27.75" hidden="false" customHeight="true" outlineLevel="0" collapsed="false">
      <c r="A28" s="21" t="n">
        <v>10</v>
      </c>
      <c r="B28" s="22" t="s">
        <v>66</v>
      </c>
      <c r="C28" s="23" t="s">
        <v>67</v>
      </c>
      <c r="D28" s="22" t="s">
        <v>68</v>
      </c>
      <c r="E28" s="22" t="s">
        <v>46</v>
      </c>
      <c r="F28" s="24" t="n">
        <v>50</v>
      </c>
      <c r="G28" s="25" t="n">
        <v>680</v>
      </c>
      <c r="H28" s="25" t="n">
        <f aca="false">F28*G28</f>
        <v>34000</v>
      </c>
      <c r="I28" s="26" t="n">
        <v>0.2</v>
      </c>
      <c r="J28" s="25" t="n">
        <f aca="false">H28*(1+I28)</f>
        <v>40800</v>
      </c>
    </row>
    <row r="29" customFormat="false" ht="27.75" hidden="false" customHeight="true" outlineLevel="0" collapsed="false">
      <c r="A29" s="15" t="n">
        <v>11</v>
      </c>
      <c r="B29" s="16" t="s">
        <v>69</v>
      </c>
      <c r="C29" s="17" t="s">
        <v>70</v>
      </c>
      <c r="D29" s="16" t="s">
        <v>71</v>
      </c>
      <c r="E29" s="16" t="s">
        <v>42</v>
      </c>
      <c r="F29" s="18" t="n">
        <v>25</v>
      </c>
      <c r="G29" s="19" t="n">
        <v>3250</v>
      </c>
      <c r="H29" s="19" t="n">
        <f aca="false">F29*G29</f>
        <v>81250</v>
      </c>
      <c r="I29" s="20" t="n">
        <v>0.2</v>
      </c>
      <c r="J29" s="19" t="n">
        <f aca="false">H29*(1+I29)</f>
        <v>97500</v>
      </c>
    </row>
    <row r="30" customFormat="false" ht="27.75" hidden="false" customHeight="true" outlineLevel="0" collapsed="false">
      <c r="A30" s="21" t="n">
        <v>12</v>
      </c>
      <c r="B30" s="22" t="s">
        <v>72</v>
      </c>
      <c r="C30" s="23" t="s">
        <v>73</v>
      </c>
      <c r="D30" s="22" t="s">
        <v>74</v>
      </c>
      <c r="E30" s="22" t="s">
        <v>42</v>
      </c>
      <c r="F30" s="24" t="n">
        <v>10</v>
      </c>
      <c r="G30" s="25" t="n">
        <v>4500</v>
      </c>
      <c r="H30" s="25" t="n">
        <f aca="false">F30*G30</f>
        <v>45000</v>
      </c>
      <c r="I30" s="26" t="n">
        <v>0.2</v>
      </c>
      <c r="J30" s="25" t="n">
        <f aca="false">H30*(1+I30)</f>
        <v>54000</v>
      </c>
    </row>
    <row r="31" customFormat="false" ht="27.75" hidden="false" customHeight="true" outlineLevel="0" collapsed="false">
      <c r="A31" s="15" t="n">
        <v>13</v>
      </c>
      <c r="B31" s="16" t="s">
        <v>75</v>
      </c>
      <c r="C31" s="17" t="s">
        <v>76</v>
      </c>
      <c r="D31" s="16" t="s">
        <v>77</v>
      </c>
      <c r="E31" s="16" t="s">
        <v>42</v>
      </c>
      <c r="F31" s="18" t="n">
        <v>8</v>
      </c>
      <c r="G31" s="19" t="n">
        <v>5800</v>
      </c>
      <c r="H31" s="19" t="n">
        <f aca="false">F31*G31</f>
        <v>46400</v>
      </c>
      <c r="I31" s="20" t="n">
        <v>0.2</v>
      </c>
      <c r="J31" s="19" t="n">
        <f aca="false">H31*(1+I31)</f>
        <v>55680</v>
      </c>
    </row>
    <row r="32" customFormat="false" ht="27.75" hidden="false" customHeight="true" outlineLevel="0" collapsed="false">
      <c r="A32" s="21" t="n">
        <v>14</v>
      </c>
      <c r="B32" s="22" t="s">
        <v>78</v>
      </c>
      <c r="C32" s="23" t="s">
        <v>79</v>
      </c>
      <c r="D32" s="22" t="s">
        <v>80</v>
      </c>
      <c r="E32" s="22" t="s">
        <v>46</v>
      </c>
      <c r="F32" s="24" t="n">
        <v>12</v>
      </c>
      <c r="G32" s="25" t="n">
        <v>3950</v>
      </c>
      <c r="H32" s="25" t="n">
        <f aca="false">F32*G32</f>
        <v>47400</v>
      </c>
      <c r="I32" s="26" t="n">
        <v>0.2</v>
      </c>
      <c r="J32" s="25" t="n">
        <f aca="false">H32*(1+I32)</f>
        <v>56880</v>
      </c>
    </row>
    <row r="33" customFormat="false" ht="27.75" hidden="false" customHeight="true" outlineLevel="0" collapsed="false">
      <c r="A33" s="15" t="n">
        <v>15</v>
      </c>
      <c r="B33" s="16" t="s">
        <v>81</v>
      </c>
      <c r="C33" s="17" t="s">
        <v>82</v>
      </c>
      <c r="D33" s="16" t="s">
        <v>83</v>
      </c>
      <c r="E33" s="16" t="s">
        <v>42</v>
      </c>
      <c r="F33" s="18" t="n">
        <v>80</v>
      </c>
      <c r="G33" s="19" t="n">
        <v>380</v>
      </c>
      <c r="H33" s="19" t="n">
        <f aca="false">F33*G33</f>
        <v>30400</v>
      </c>
      <c r="I33" s="20" t="n">
        <v>0.2</v>
      </c>
      <c r="J33" s="19" t="n">
        <f aca="false">H33*(1+I33)</f>
        <v>36480</v>
      </c>
    </row>
    <row r="34" customFormat="false" ht="27.75" hidden="false" customHeight="true" outlineLevel="0" collapsed="false">
      <c r="A34" s="21" t="n">
        <v>16</v>
      </c>
      <c r="B34" s="22" t="s">
        <v>84</v>
      </c>
      <c r="C34" s="23" t="s">
        <v>85</v>
      </c>
      <c r="D34" s="22" t="s">
        <v>86</v>
      </c>
      <c r="E34" s="22" t="s">
        <v>87</v>
      </c>
      <c r="F34" s="24" t="n">
        <v>45</v>
      </c>
      <c r="G34" s="25" t="n">
        <v>525</v>
      </c>
      <c r="H34" s="25" t="n">
        <f aca="false">F34*G34</f>
        <v>23625</v>
      </c>
      <c r="I34" s="26" t="n">
        <v>0.2</v>
      </c>
      <c r="J34" s="25" t="n">
        <f aca="false">H34*(1+I34)</f>
        <v>28350</v>
      </c>
    </row>
    <row r="35" customFormat="false" ht="27.75" hidden="false" customHeight="true" outlineLevel="0" collapsed="false">
      <c r="A35" s="15" t="n">
        <v>17</v>
      </c>
      <c r="B35" s="16" t="s">
        <v>88</v>
      </c>
      <c r="C35" s="17" t="s">
        <v>89</v>
      </c>
      <c r="D35" s="16" t="s">
        <v>90</v>
      </c>
      <c r="E35" s="16" t="s">
        <v>42</v>
      </c>
      <c r="F35" s="18" t="n">
        <v>60</v>
      </c>
      <c r="G35" s="19" t="n">
        <v>285</v>
      </c>
      <c r="H35" s="19" t="n">
        <f aca="false">F35*G35</f>
        <v>17100</v>
      </c>
      <c r="I35" s="20" t="n">
        <v>0.2</v>
      </c>
      <c r="J35" s="19" t="n">
        <f aca="false">H35*(1+I35)</f>
        <v>20520</v>
      </c>
    </row>
    <row r="36" customFormat="false" ht="27.75" hidden="false" customHeight="true" outlineLevel="0" collapsed="false">
      <c r="A36" s="21" t="n">
        <v>18</v>
      </c>
      <c r="B36" s="22" t="s">
        <v>91</v>
      </c>
      <c r="C36" s="23" t="s">
        <v>92</v>
      </c>
      <c r="D36" s="22" t="s">
        <v>54</v>
      </c>
      <c r="E36" s="22" t="s">
        <v>42</v>
      </c>
      <c r="F36" s="24" t="n">
        <v>18</v>
      </c>
      <c r="G36" s="25" t="n">
        <v>1450</v>
      </c>
      <c r="H36" s="25" t="n">
        <f aca="false">F36*G36</f>
        <v>26100</v>
      </c>
      <c r="I36" s="26" t="n">
        <v>0.2</v>
      </c>
      <c r="J36" s="25" t="n">
        <f aca="false">H36*(1+I36)</f>
        <v>31320</v>
      </c>
    </row>
    <row r="37" customFormat="false" ht="27.75" hidden="false" customHeight="true" outlineLevel="0" collapsed="false">
      <c r="A37" s="15" t="n">
        <v>19</v>
      </c>
      <c r="B37" s="16" t="s">
        <v>93</v>
      </c>
      <c r="C37" s="17" t="s">
        <v>94</v>
      </c>
      <c r="D37" s="16" t="s">
        <v>95</v>
      </c>
      <c r="E37" s="16" t="s">
        <v>42</v>
      </c>
      <c r="F37" s="18" t="n">
        <v>35</v>
      </c>
      <c r="G37" s="19" t="n">
        <v>395</v>
      </c>
      <c r="H37" s="19" t="n">
        <f aca="false">F37*G37</f>
        <v>13825</v>
      </c>
      <c r="I37" s="20" t="n">
        <v>0.2</v>
      </c>
      <c r="J37" s="19" t="n">
        <f aca="false">H37*(1+I37)</f>
        <v>16590</v>
      </c>
    </row>
    <row r="38" customFormat="false" ht="27.75" hidden="false" customHeight="true" outlineLevel="0" collapsed="false">
      <c r="A38" s="21" t="n">
        <v>20</v>
      </c>
      <c r="B38" s="22" t="s">
        <v>96</v>
      </c>
      <c r="C38" s="23" t="s">
        <v>97</v>
      </c>
      <c r="D38" s="22" t="s">
        <v>98</v>
      </c>
      <c r="E38" s="22" t="s">
        <v>99</v>
      </c>
      <c r="F38" s="24" t="n">
        <v>100</v>
      </c>
      <c r="G38" s="25" t="n">
        <v>245</v>
      </c>
      <c r="H38" s="25" t="n">
        <f aca="false">F38*G38</f>
        <v>24500</v>
      </c>
      <c r="I38" s="26" t="n">
        <v>0.2</v>
      </c>
      <c r="J38" s="25" t="n">
        <f aca="false">H38*(1+I38)</f>
        <v>29400</v>
      </c>
    </row>
    <row r="39" customFormat="false" ht="12" hidden="false" customHeight="true" outlineLevel="0" collapsed="false"/>
    <row r="40" customFormat="false" ht="21.75" hidden="false" customHeight="true" outlineLevel="0" collapsed="false">
      <c r="B40" s="27" t="s">
        <v>100</v>
      </c>
      <c r="C40" s="28" t="n">
        <f aca="false">COUNTA(A19:A38)</f>
        <v>20</v>
      </c>
      <c r="F40" s="29" t="s">
        <v>101</v>
      </c>
      <c r="G40" s="29"/>
      <c r="H40" s="29"/>
      <c r="I40" s="30" t="n">
        <f aca="false">SUM(H19:H38)</f>
        <v>623100</v>
      </c>
      <c r="J40" s="30"/>
    </row>
    <row r="41" customFormat="false" ht="21.75" hidden="false" customHeight="true" outlineLevel="0" collapsed="false">
      <c r="B41" s="27" t="s">
        <v>102</v>
      </c>
      <c r="C41" s="31" t="n">
        <f aca="false">SUM(F19:F38)</f>
        <v>1248</v>
      </c>
      <c r="F41" s="29" t="s">
        <v>103</v>
      </c>
      <c r="G41" s="29"/>
      <c r="H41" s="29"/>
      <c r="I41" s="30" t="n">
        <v>0</v>
      </c>
      <c r="J41" s="30"/>
    </row>
    <row r="42" customFormat="false" ht="21.75" hidden="false" customHeight="true" outlineLevel="0" collapsed="false">
      <c r="F42" s="32" t="s">
        <v>104</v>
      </c>
      <c r="G42" s="32"/>
      <c r="H42" s="32"/>
      <c r="I42" s="33" t="n">
        <f aca="false">I40-I41</f>
        <v>623100</v>
      </c>
      <c r="J42" s="33"/>
    </row>
    <row r="43" customFormat="false" ht="21.75" hidden="false" customHeight="true" outlineLevel="0" collapsed="false">
      <c r="F43" s="29" t="s">
        <v>105</v>
      </c>
      <c r="G43" s="29"/>
      <c r="H43" s="29"/>
      <c r="I43" s="30" t="n">
        <f aca="false">SUMPRODUCT(H19:H38,I19:I38)</f>
        <v>124620</v>
      </c>
      <c r="J43" s="30"/>
    </row>
    <row r="44" customFormat="false" ht="21.75" hidden="false" customHeight="true" outlineLevel="0" collapsed="false">
      <c r="F44" s="34" t="s">
        <v>106</v>
      </c>
      <c r="G44" s="34"/>
      <c r="H44" s="34"/>
      <c r="I44" s="35" t="n">
        <f aca="false">I42+I43</f>
        <v>747720</v>
      </c>
      <c r="J44" s="35"/>
    </row>
    <row r="46" customFormat="false" ht="9.75" hidden="false" customHeight="true" outlineLevel="0" collapsed="false"/>
    <row r="47" customFormat="false" ht="19.5" hidden="false" customHeight="true" outlineLevel="0" collapsed="false">
      <c r="A47" s="36" t="s">
        <v>107</v>
      </c>
      <c r="B47" s="36"/>
      <c r="C47" s="36"/>
      <c r="D47" s="36"/>
      <c r="E47" s="36"/>
      <c r="F47" s="36"/>
      <c r="G47" s="36"/>
      <c r="H47" s="36"/>
      <c r="I47" s="36"/>
      <c r="J47" s="36"/>
    </row>
    <row r="48" customFormat="false" ht="31.5" hidden="false" customHeight="true" outlineLevel="0" collapsed="false">
      <c r="A48" s="37" t="s">
        <v>108</v>
      </c>
      <c r="B48" s="37"/>
      <c r="C48" s="38" t="s">
        <v>109</v>
      </c>
      <c r="D48" s="38"/>
      <c r="E48" s="38"/>
      <c r="F48" s="38"/>
      <c r="G48" s="38"/>
      <c r="H48" s="38"/>
      <c r="I48" s="38"/>
      <c r="J48" s="38"/>
    </row>
    <row r="49" customFormat="false" ht="31.5" hidden="false" customHeight="true" outlineLevel="0" collapsed="false">
      <c r="A49" s="37" t="s">
        <v>110</v>
      </c>
      <c r="B49" s="37"/>
      <c r="C49" s="38" t="s">
        <v>111</v>
      </c>
      <c r="D49" s="38"/>
      <c r="E49" s="38"/>
      <c r="F49" s="38"/>
      <c r="G49" s="38"/>
      <c r="H49" s="38"/>
      <c r="I49" s="38"/>
      <c r="J49" s="38"/>
    </row>
    <row r="50" customFormat="false" ht="31.5" hidden="false" customHeight="true" outlineLevel="0" collapsed="false">
      <c r="A50" s="37" t="s">
        <v>112</v>
      </c>
      <c r="B50" s="37"/>
      <c r="C50" s="38" t="s">
        <v>113</v>
      </c>
      <c r="D50" s="38"/>
      <c r="E50" s="38"/>
      <c r="F50" s="38"/>
      <c r="G50" s="38"/>
      <c r="H50" s="38"/>
      <c r="I50" s="38"/>
      <c r="J50" s="38"/>
    </row>
    <row r="51" customFormat="false" ht="31.5" hidden="false" customHeight="true" outlineLevel="0" collapsed="false">
      <c r="A51" s="37" t="s">
        <v>114</v>
      </c>
      <c r="B51" s="37"/>
      <c r="C51" s="38" t="s">
        <v>115</v>
      </c>
      <c r="D51" s="38"/>
      <c r="E51" s="38"/>
      <c r="F51" s="38"/>
      <c r="G51" s="38"/>
      <c r="H51" s="38"/>
      <c r="I51" s="38"/>
      <c r="J51" s="38"/>
    </row>
    <row r="52" customFormat="false" ht="31.5" hidden="false" customHeight="true" outlineLevel="0" collapsed="false">
      <c r="A52" s="37" t="s">
        <v>116</v>
      </c>
      <c r="B52" s="37"/>
      <c r="C52" s="38" t="s">
        <v>117</v>
      </c>
      <c r="D52" s="38"/>
      <c r="E52" s="38"/>
      <c r="F52" s="38"/>
      <c r="G52" s="38"/>
      <c r="H52" s="38"/>
      <c r="I52" s="38"/>
      <c r="J52" s="38"/>
    </row>
    <row r="53" customFormat="false" ht="31.5" hidden="false" customHeight="true" outlineLevel="0" collapsed="false">
      <c r="A53" s="37" t="s">
        <v>118</v>
      </c>
      <c r="B53" s="37"/>
      <c r="C53" s="38" t="s">
        <v>119</v>
      </c>
      <c r="D53" s="38"/>
      <c r="E53" s="38"/>
      <c r="F53" s="38"/>
      <c r="G53" s="38"/>
      <c r="H53" s="38"/>
      <c r="I53" s="38"/>
      <c r="J53" s="38"/>
    </row>
    <row r="54" customFormat="false" ht="31.5" hidden="false" customHeight="true" outlineLevel="0" collapsed="false">
      <c r="A54" s="37" t="s">
        <v>120</v>
      </c>
      <c r="B54" s="37"/>
      <c r="C54" s="38" t="s">
        <v>121</v>
      </c>
      <c r="D54" s="38"/>
      <c r="E54" s="38"/>
      <c r="F54" s="38"/>
      <c r="G54" s="38"/>
      <c r="H54" s="38"/>
      <c r="I54" s="38"/>
      <c r="J54" s="38"/>
    </row>
    <row r="55" customFormat="false" ht="31.5" hidden="false" customHeight="true" outlineLevel="0" collapsed="false">
      <c r="A55" s="37" t="s">
        <v>122</v>
      </c>
      <c r="B55" s="37"/>
      <c r="C55" s="38" t="s">
        <v>123</v>
      </c>
      <c r="D55" s="38"/>
      <c r="E55" s="38"/>
      <c r="F55" s="38"/>
      <c r="G55" s="38"/>
      <c r="H55" s="38"/>
      <c r="I55" s="38"/>
      <c r="J55" s="38"/>
    </row>
    <row r="57" customFormat="false" ht="15.75" hidden="false" customHeight="true" outlineLevel="0" collapsed="false"/>
    <row r="58" customFormat="false" ht="18" hidden="false" customHeight="true" outlineLevel="0" collapsed="false">
      <c r="A58" s="39" t="s">
        <v>124</v>
      </c>
      <c r="B58" s="39"/>
      <c r="C58" s="39"/>
      <c r="D58" s="39"/>
      <c r="E58" s="39"/>
      <c r="F58" s="40" t="s">
        <v>125</v>
      </c>
      <c r="G58" s="40"/>
      <c r="H58" s="40"/>
      <c r="I58" s="40"/>
      <c r="J58" s="40"/>
    </row>
    <row r="59" customFormat="false" ht="18" hidden="false" customHeight="true" outlineLevel="0" collapsed="false">
      <c r="A59" s="41"/>
      <c r="B59" s="41"/>
      <c r="C59" s="41"/>
      <c r="D59" s="41"/>
      <c r="E59" s="41"/>
      <c r="F59" s="42"/>
      <c r="G59" s="42"/>
      <c r="H59" s="42"/>
      <c r="I59" s="42"/>
      <c r="J59" s="42"/>
    </row>
    <row r="60" customFormat="false" ht="18" hidden="false" customHeight="true" outlineLevel="0" collapsed="false">
      <c r="A60" s="41"/>
      <c r="B60" s="41"/>
      <c r="C60" s="41"/>
      <c r="D60" s="41"/>
      <c r="E60" s="41"/>
      <c r="F60" s="42"/>
      <c r="G60" s="42"/>
      <c r="H60" s="42"/>
      <c r="I60" s="42"/>
      <c r="J60" s="42"/>
    </row>
    <row r="61" customFormat="false" ht="18" hidden="false" customHeight="true" outlineLevel="0" collapsed="false">
      <c r="A61" s="41"/>
      <c r="B61" s="41"/>
      <c r="C61" s="41"/>
      <c r="D61" s="41"/>
      <c r="E61" s="41"/>
      <c r="F61" s="42"/>
      <c r="G61" s="42"/>
      <c r="H61" s="42"/>
      <c r="I61" s="42"/>
      <c r="J61" s="42"/>
    </row>
    <row r="62" customFormat="false" ht="18" hidden="false" customHeight="true" outlineLevel="0" collapsed="false">
      <c r="A62" s="41"/>
      <c r="B62" s="41"/>
      <c r="C62" s="41"/>
      <c r="D62" s="41"/>
      <c r="E62" s="41"/>
      <c r="F62" s="42"/>
      <c r="G62" s="42"/>
      <c r="H62" s="42"/>
      <c r="I62" s="42"/>
      <c r="J62" s="42"/>
    </row>
    <row r="63" customFormat="false" ht="19.5" hidden="false" customHeight="true" outlineLevel="0" collapsed="false">
      <c r="A63" s="43" t="s">
        <v>6</v>
      </c>
      <c r="B63" s="43"/>
      <c r="C63" s="43"/>
      <c r="D63" s="43"/>
      <c r="E63" s="43"/>
      <c r="F63" s="44" t="s">
        <v>7</v>
      </c>
      <c r="G63" s="44"/>
      <c r="H63" s="44"/>
      <c r="I63" s="44"/>
      <c r="J63" s="44"/>
    </row>
    <row r="64" customFormat="false" ht="15.75" hidden="false" customHeight="true" outlineLevel="0" collapsed="false">
      <c r="A64" s="45" t="s">
        <v>126</v>
      </c>
      <c r="B64" s="45"/>
      <c r="C64" s="45"/>
      <c r="D64" s="45"/>
      <c r="E64" s="45"/>
      <c r="F64" s="46" t="s">
        <v>126</v>
      </c>
      <c r="G64" s="46"/>
      <c r="H64" s="46"/>
      <c r="I64" s="46"/>
      <c r="J64" s="46"/>
    </row>
  </sheetData>
  <mergeCells count="70">
    <mergeCell ref="A1:H3"/>
    <mergeCell ref="I1:J1"/>
    <mergeCell ref="I2:J2"/>
    <mergeCell ref="I3:J3"/>
    <mergeCell ref="A5:E5"/>
    <mergeCell ref="F5:J5"/>
    <mergeCell ref="A6:E6"/>
    <mergeCell ref="F6:J6"/>
    <mergeCell ref="A7:E7"/>
    <mergeCell ref="F7:J7"/>
    <mergeCell ref="A8:E8"/>
    <mergeCell ref="F8:J8"/>
    <mergeCell ref="A9:E9"/>
    <mergeCell ref="F9:J9"/>
    <mergeCell ref="A10:E10"/>
    <mergeCell ref="F10:J10"/>
    <mergeCell ref="A11:E11"/>
    <mergeCell ref="F11:J11"/>
    <mergeCell ref="A12:E12"/>
    <mergeCell ref="F12:J12"/>
    <mergeCell ref="A14:B14"/>
    <mergeCell ref="C14:D14"/>
    <mergeCell ref="E14:G14"/>
    <mergeCell ref="H14:J14"/>
    <mergeCell ref="A15:B15"/>
    <mergeCell ref="C15:D15"/>
    <mergeCell ref="E15:G15"/>
    <mergeCell ref="H15:J15"/>
    <mergeCell ref="A17:J17"/>
    <mergeCell ref="F40:H40"/>
    <mergeCell ref="I40:J40"/>
    <mergeCell ref="F41:H41"/>
    <mergeCell ref="I41:J41"/>
    <mergeCell ref="F42:H42"/>
    <mergeCell ref="I42:J42"/>
    <mergeCell ref="F43:H43"/>
    <mergeCell ref="I43:J43"/>
    <mergeCell ref="F44:H44"/>
    <mergeCell ref="I44:J44"/>
    <mergeCell ref="A47:J47"/>
    <mergeCell ref="A48:B48"/>
    <mergeCell ref="C48:J48"/>
    <mergeCell ref="A49:B49"/>
    <mergeCell ref="C49:J49"/>
    <mergeCell ref="A50:B50"/>
    <mergeCell ref="C50:J50"/>
    <mergeCell ref="A51:B51"/>
    <mergeCell ref="C51:J51"/>
    <mergeCell ref="A52:B52"/>
    <mergeCell ref="C52:J52"/>
    <mergeCell ref="A53:B53"/>
    <mergeCell ref="C53:J53"/>
    <mergeCell ref="A54:B54"/>
    <mergeCell ref="C54:J54"/>
    <mergeCell ref="A55:B55"/>
    <mergeCell ref="C55:J55"/>
    <mergeCell ref="A58:E58"/>
    <mergeCell ref="F58:J58"/>
    <mergeCell ref="A59:E59"/>
    <mergeCell ref="F59:J59"/>
    <mergeCell ref="A60:E60"/>
    <mergeCell ref="F60:J60"/>
    <mergeCell ref="A61:E61"/>
    <mergeCell ref="F61:J61"/>
    <mergeCell ref="A62:E62"/>
    <mergeCell ref="F62:J62"/>
    <mergeCell ref="A63:E63"/>
    <mergeCell ref="F63:J63"/>
    <mergeCell ref="A64:E64"/>
    <mergeCell ref="F64:J6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2026-05-17T17:08:27Z</dcterms:created>
  <dc:creator>openpyxl</dc:creator>
  <dc:description/>
  <dc:language>en-US</dc:language>
  <cp:lastModifiedBy/>
  <dcterms:modified xsi:type="dcterms:W3CDTF">2026-05-17T17:08:27Z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